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854f5b6c5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Processing" sheetId="1" r:id="Rf06769b73c61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</x:fills>
  <x:borders count="7">
    <x:border/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b/>
        <x:color rgb="FF176238"/>
      </x:font>
      <x:fill>
        <x:patternFill patternType="solid">
          <x:bgColor rgb="FFDCEFE2"/>
        </x:patternFill>
      </x:fill>
    </x:dxf>
    <x:dxf>
      <x:font>
        <x:color rgb="FF176238"/>
      </x:font>
      <x:fill>
        <x:patternFill patternType="solid">
          <x:bgColor rgb="FFDCEFE2"/>
        </x:patternFill>
      </x:fill>
    </x:dxf>
    <x:dxf>
      <x:font>
        <x:b/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color rgb="FF4C5967"/>
      </x:font>
      <x:fill>
        <x:patternFill patternType="solid">
          <x:bgColor rgb="FFE9EDF1"/>
        </x:patternFill>
      </x:fill>
    </x:dxf>
    <x:dxf>
      <x:font>
        <x:b/>
        <x:color rgb="FF9A2E2E"/>
      </x:font>
      <x:fill>
        <x:patternFill patternType="solid">
          <x:bgColor rgb="FFF9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a5930791f444d" /><Relationship Type="http://schemas.openxmlformats.org/officeDocument/2006/relationships/theme" Target="/xl/theme/theme1.xml" Id="R3d5d21e886c04f4c" /><Relationship Type="http://schemas.openxmlformats.org/officeDocument/2006/relationships/sharedStrings" Target="/xl/sharedStrings.xml" Id="R4d9f551eaec14b6a" /><Relationship Type="http://schemas.openxmlformats.org/officeDocument/2006/relationships/worksheet" Target="/xl/worksheets/sheet1.xml" Id="Rf06769b73c614b0d" /></Relationships>
</file>

<file path=xl/tables/table1.xml><?xml version="1.0" encoding="utf-8"?>
<x:table xmlns:x="http://schemas.openxmlformats.org/spreadsheetml/2006/main" id="1" name="DocumentProcessingTable" displayName="DocumentProcessingTable" ref="A7:M31" headerRowCount="1" totalsRowCount="0" totalsRowShown="0">
  <x:tableColumns count="13">
    <x:tableColumn id="1" name="Order"/>
    <x:tableColumn id="2" name="Processing phase"/>
    <x:tableColumn id="3" name="Source ID"/>
    <x:tableColumn id="4" name="Current filename"/>
    <x:tableColumn id="5" name="Content-derived role"/>
    <x:tableColumn id="6" name="Processing disposition"/>
    <x:tableColumn id="7" name="Chunks"/>
    <x:tableColumn id="8" name="Chunk-count basis"/>
    <x:tableColumn id="9" name="Extraction status"/>
    <x:tableColumn id="10" name="Accepted legacy records"/>
    <x:tableColumn id="11" name="Next action"/>
    <x:tableColumn id="12" name="Repository path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c10e50f49e43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5" hidden="0" customWidth="1"/>
    <x:col min="4" max="4" width="48" hidden="0" customWidth="1"/>
    <x:col min="5" max="5" width="35" hidden="0" customWidth="1"/>
    <x:col min="6" max="6" width="35" hidden="0" customWidth="1"/>
    <x:col min="7" max="7" width="10" hidden="0" customWidth="1"/>
    <x:col min="8" max="8" width="28" hidden="0" customWidth="1"/>
    <x:col min="9" max="9" width="34" hidden="0" customWidth="1"/>
    <x:col min="10" max="10" width="14" hidden="0" customWidth="1"/>
    <x:col min="11" max="11" width="42" hidden="0" customWidth="1"/>
    <x:col min="12" max="12" width="55" hidden="0" customWidth="1"/>
    <x:col min="13" max="13" width="44" hidden="0" customWidth="1"/>
  </x:cols>
  <x:sheetData>
    <x:row r="1" ht="34" customHeight="1">
      <x:c r="A1" s="3" t="str">
        <x:v>MEDIAN v0.5.0 Document Processing Tracker</x:v>
      </x:c>
      <x:c r="B1" s="3" t="str">
        <x:v>MEDIAN v0.5.0 Document Processing Tracker</x:v>
      </x:c>
      <x:c r="C1" s="3" t="str">
        <x:v>MEDIAN v0.5.0 Document Processing Tracker</x:v>
      </x:c>
      <x:c r="D1" s="3" t="str">
        <x:v>MEDIAN v0.5.0 Document Processing Tracker</x:v>
      </x:c>
      <x:c r="E1" s="3" t="str">
        <x:v>MEDIAN v0.5.0 Document Processing Tracker</x:v>
      </x:c>
      <x:c r="F1" s="3" t="str">
        <x:v>MEDIAN v0.5.0 Document Processing Tracker</x:v>
      </x:c>
      <x:c r="G1" s="3" t="str">
        <x:v>MEDIAN v0.5.0 Document Processing Tracker</x:v>
      </x:c>
      <x:c r="H1" s="3" t="str">
        <x:v>MEDIAN v0.5.0 Document Processing Tracker</x:v>
      </x:c>
      <x:c r="I1" s="3" t="str">
        <x:v>MEDIAN v0.5.0 Document Processing Tracker</x:v>
      </x:c>
      <x:c r="J1" s="3" t="str">
        <x:v>MEDIAN v0.5.0 Document Processing Tracker</x:v>
      </x:c>
      <x:c r="K1" s="3" t="str">
        <x:v>MEDIAN v0.5.0 Document Processing Tracker</x:v>
      </x:c>
      <x:c r="L1" s="3" t="str">
        <x:v>MEDIAN v0.5.0 Document Processing Tracker</x:v>
      </x:c>
      <x:c r="M1" s="3" t="str">
        <x:v>MEDIAN v0.5.0 Document Processing Tracker</x:v>
      </x:c>
    </x:row>
    <x:row r="2" ht="30" customHeight="1">
      <x:c r="A2" s="7" t="str">
        <x:v>One row per current Gate 2 source, ordered by the intended processing sequence. Chunk counts are evidence-backed; legacy dry-run counts are explicitly distinguished from completed extraction.</x:v>
      </x:c>
      <x:c r="B2" s="7" t="str">
        <x:v>One row per current Gate 2 source, ordered by the intended processing sequence. Chunk counts are evidence-backed; legacy dry-run counts are explicitly distinguished from completed extraction.</x:v>
      </x:c>
      <x:c r="C2" s="7" t="str">
        <x:v>One row per current Gate 2 source, ordered by the intended processing sequence. Chunk counts are evidence-backed; legacy dry-run counts are explicitly distinguished from completed extraction.</x:v>
      </x:c>
      <x:c r="D2" s="7" t="str">
        <x:v>One row per current Gate 2 source, ordered by the intended processing sequence. Chunk counts are evidence-backed; legacy dry-run counts are explicitly distinguished from completed extraction.</x:v>
      </x:c>
      <x:c r="E2" s="7" t="str">
        <x:v>One row per current Gate 2 source, ordered by the intended processing sequence. Chunk counts are evidence-backed; legacy dry-run counts are explicitly distinguished from completed extraction.</x:v>
      </x:c>
      <x:c r="F2" s="7" t="str">
        <x:v>One row per current Gate 2 source, ordered by the intended processing sequence. Chunk counts are evidence-backed; legacy dry-run counts are explicitly distinguished from completed extraction.</x:v>
      </x:c>
      <x:c r="G2" s="7" t="str">
        <x:v>One row per current Gate 2 source, ordered by the intended processing sequence. Chunk counts are evidence-backed; legacy dry-run counts are explicitly distinguished from completed extraction.</x:v>
      </x:c>
      <x:c r="H2" s="7" t="str">
        <x:v>One row per current Gate 2 source, ordered by the intended processing sequence. Chunk counts are evidence-backed; legacy dry-run counts are explicitly distinguished from completed extraction.</x:v>
      </x:c>
      <x:c r="I2" s="7" t="str">
        <x:v>One row per current Gate 2 source, ordered by the intended processing sequence. Chunk counts are evidence-backed; legacy dry-run counts are explicitly distinguished from completed extraction.</x:v>
      </x:c>
      <x:c r="J2" s="7" t="str">
        <x:v>One row per current Gate 2 source, ordered by the intended processing sequence. Chunk counts are evidence-backed; legacy dry-run counts are explicitly distinguished from completed extraction.</x:v>
      </x:c>
      <x:c r="K2" s="7" t="str">
        <x:v>One row per current Gate 2 source, ordered by the intended processing sequence. Chunk counts are evidence-backed; legacy dry-run counts are explicitly distinguished from completed extraction.</x:v>
      </x:c>
      <x:c r="L2" s="7" t="str">
        <x:v>One row per current Gate 2 source, ordered by the intended processing sequence. Chunk counts are evidence-backed; legacy dry-run counts are explicitly distinguished from completed extraction.</x:v>
      </x:c>
      <x:c r="M2" s="7" t="str">
        <x:v>One row per current Gate 2 source, ordered by the intended processing sequence. Chunk counts are evidence-backed; legacy dry-run counts are explicitly distinguished from completed extraction.</x:v>
      </x:c>
    </x:row>
    <x:row r="4">
      <x:c r="A4" s="9" t="str">
        <x:v>Sources</x:v>
      </x:c>
      <x:c r="B4" s="10" t="n">
        <x:f>COUNTA(D8:D31)</x:f>
        <x:v>24</x:v>
      </x:c>
      <x:c r="C4" s="10" t="str">
        <x:v>Accepted legacy evidence</x:v>
      </x:c>
      <x:c r="D4" s="10" t="n">
        <x:f>COUNTIF(I8:I31,"Legacy accepted; migration repairs required")+COUNTIF(I8:I31,"Legacy accepted evidence; deterministic reconstruction required")</x:f>
        <x:v>4</x:v>
      </x:c>
      <x:c r="E4" s="10" t="str">
        <x:v>Fresh extraction not started</x:v>
      </x:c>
      <x:c r="F4" s="10" t="n">
        <x:f>COUNTIF(I8:I31,"Not started")</x:f>
        <x:v>12</x:v>
      </x:c>
      <x:c r="G4" s="10" t="str">
        <x:v>Reference / deterministic only</x:v>
      </x:c>
      <x:c r="H4" s="11" t="n">
        <x:f>COUNTIF(I8:I31,"No extraction — reference only")+COUNTIF(I8:I31,"Deterministic parse pending")+COUNTIF(I8:I31,"Deferred to Stage 6")+COUNTIF(I8:I31,"Deferred to Stage 7")+COUNTIF(I8:I31,"Deferred; selection unresolved")</x:f>
        <x:v>6</x:v>
      </x:c>
    </x:row>
    <x:row r="7" ht="26.399999618530273" hidden="0" customHeight="1">
      <x:c r="A7" s="23" t="str">
        <x:v>Order</x:v>
      </x:c>
      <x:c r="B7" s="24" t="str">
        <x:v>Processing phase</x:v>
      </x:c>
      <x:c r="C7" s="24" t="str">
        <x:v>Source ID</x:v>
      </x:c>
      <x:c r="D7" s="24" t="str">
        <x:v>Current filename</x:v>
      </x:c>
      <x:c r="E7" s="24" t="str">
        <x:v>Content-derived role</x:v>
      </x:c>
      <x:c r="F7" s="24" t="str">
        <x:v>Processing disposition</x:v>
      </x:c>
      <x:c r="G7" s="24" t="str">
        <x:v>Chunks</x:v>
      </x:c>
      <x:c r="H7" s="24" t="str">
        <x:v>Chunk-count basis</x:v>
      </x:c>
      <x:c r="I7" s="24" t="str">
        <x:v>Extraction status</x:v>
      </x:c>
      <x:c r="J7" s="24" t="str">
        <x:v>Accepted legacy records</x:v>
      </x:c>
      <x:c r="K7" s="24" t="str">
        <x:v>Next action</x:v>
      </x:c>
      <x:c r="L7" s="24" t="str">
        <x:v>Repository path</x:v>
      </x:c>
      <x:c r="M7" s="25" t="str">
        <x:v>Notes</x:v>
      </x:c>
    </x:row>
    <x:row r="8" ht="26.399999618530273" hidden="0" customHeight="1">
      <x:c r="A8" s="28" t="n">
        <x:v>1</x:v>
      </x:c>
      <x:c r="B8" s="27" t="str">
        <x:v>Stage 2 — authorial stream</x:v>
      </x:c>
      <x:c r="C8" s="27" t="str">
        <x:v>M050-SRC-AUTHORIAL-GRAMMAR-001</x:v>
      </x:c>
      <x:c r="D8" s="27" t="str">
        <x:v>M050_Authorial_Grammar_Orthography_and_Prose_Style_Guide_v0_1_MEDIANv0_5_0.md</x:v>
      </x:c>
      <x:c r="E8" s="27" t="str">
        <x:v>Authorial grammar, orthography, and prose rules</x:v>
      </x:c>
      <x:c r="F8" s="27" t="str">
        <x:v>Source-bounded atomic extraction</x:v>
      </x:c>
      <x:c r="G8" s="28" t="n">
        <x:v>50</x:v>
      </x:c>
      <x:c r="H8" s="27" t="str">
        <x:v>Legacy dry run only; recalculate under Gate 5</x:v>
      </x:c>
      <x:c r="I8" s="27" t="str">
        <x:v>Calibration rejected; fresh extraction required</x:v>
      </x:c>
      <x:c r="J8" s="28" t="n">
        <x:v>0</x:v>
      </x:c>
      <x:c r="K8" s="27" t="str">
        <x:v>Rebuild chunk plan offline, then approve one controlled calibration</x:v>
      </x:c>
      <x:c r="L8" s="27" t="str">
        <x:v>m050/docs/v0.5/governance/M050_Authorial_Grammar_Orthography_and_Prose_Style_Guide_v0_1_MEDIANv0_5_0.md</x:v>
      </x:c>
      <x:c r="M8" s="27" t="str">
        <x:v>The rejected call is preserved as failure evidence; it is not reusable output.</x:v>
      </x:c>
    </x:row>
    <x:row r="9" ht="26.399999618530273" hidden="0" customHeight="1">
      <x:c r="A9" s="28" t="n">
        <x:v>2</x:v>
      </x:c>
      <x:c r="B9" s="27" t="str">
        <x:v>Stage 2 — constitutional evidence</x:v>
      </x:c>
      <x:c r="C9" s="27" t="str">
        <x:v>M050-SRC-PA-001</x:v>
      </x:c>
      <x:c r="D9" s="27" t="str">
        <x:v>M050_Governing_Philosophy_and_Architecture_v1_3_MEDIANv0_5_0.md</x:v>
      </x:c>
      <x:c r="E9" s="27" t="str">
        <x:v>Constitutional game identity and architecture</x:v>
      </x:c>
      <x:c r="F9" s="27" t="str">
        <x:v>Migrate grounded evidence into Layer E</x:v>
      </x:c>
      <x:c r="G9" s="28" t="n">
        <x:v>42</x:v>
      </x:c>
      <x:c r="H9" s="27" t="str">
        <x:v>Completed legacy run</x:v>
      </x:c>
      <x:c r="I9" s="27" t="str">
        <x:v>Legacy accepted; migration repairs required</x:v>
      </x:c>
      <x:c r="J9" s="28" t="n">
        <x:v>346</x:v>
      </x:c>
      <x:c r="K9" s="27" t="str">
        <x:v>Re-derive controlled fields and preserve silent-state boundary</x:v>
      </x:c>
      <x:c r="L9" s="27" t="str">
        <x:v>m050/docs/v0.5/governance/M050_Governing_Philosophy_and_Architecture_v1_3_MEDIANv0_5_0.md</x:v>
      </x:c>
      <x:c r="M9" s="27" t="str">
        <x:v>No paid re-extraction required.</x:v>
      </x:c>
    </x:row>
    <x:row r="10" ht="26.399999618530273" hidden="0" customHeight="1">
      <x:c r="A10" s="28" t="n">
        <x:v>3</x:v>
      </x:c>
      <x:c r="B10" s="27" t="str">
        <x:v>Stage 2 — human rulings</x:v>
      </x:c>
      <x:c r="C10" s="27" t="str">
        <x:v>M050-SRC-HUMAN-RULINGS-001</x:v>
      </x:c>
      <x:c r="D10" s="27" t="str">
        <x:v>M050_Human_Rulings_Ledger_v0_4_MEDIANv0_5_0.md</x:v>
      </x:c>
      <x:c r="E10" s="27" t="str">
        <x:v>Mixed human rulings, lineage, and process evidence</x:v>
      </x:c>
      <x:c r="F10" s="27" t="str">
        <x:v>Ruling-ID extraction plus deterministic partition</x:v>
      </x:c>
      <x:c r="G10" s="28" t="n">
        <x:v>47</x:v>
      </x:c>
      <x:c r="H10" s="27" t="str">
        <x:v>Completed legacy run</x:v>
      </x:c>
      <x:c r="I10" s="27" t="str">
        <x:v>Legacy accepted evidence; deterministic reconstruction required</x:v>
      </x:c>
      <x:c r="J10" s="28" t="n">
        <x:v>173</x:v>
      </x:c>
      <x:c r="K10" s="27" t="str">
        <x:v>Reconstruct each HR section and rebuild stream partitions</x:v>
      </x:c>
      <x:c r="L10" s="27" t="str">
        <x:v>m050/docs/v0.5/governance/M050_Human_Rulings_Ledger_v0_4_MEDIANv0_5_0.md</x:v>
      </x:c>
      <x:c r="M10" s="27" t="str">
        <x:v>Legacy candidate is archived and cannot feed reconciliation unchanged.</x:v>
      </x:c>
    </x:row>
    <x:row r="11" ht="26.399999618530273" hidden="0" customHeight="1">
      <x:c r="A11" s="28" t="n">
        <x:v>4</x:v>
      </x:c>
      <x:c r="B11" s="27" t="str">
        <x:v>Stage 2 — ontology stream</x:v>
      </x:c>
      <x:c r="C11" s="27" t="str">
        <x:v>M050-SRC-MSID-GRAMMAR-001</x:v>
      </x:c>
      <x:c r="D11" s="27" t="str">
        <x:v>M050_MSID_Grammar_v0_5_MEDIANv0_5_0.md</x:v>
      </x:c>
      <x:c r="E11" s="27" t="str">
        <x:v>Ontology and identifier grammar</x:v>
      </x:c>
      <x:c r="F11" s="27" t="str">
        <x:v>Migrate accepted ontology evidence</x:v>
      </x:c>
      <x:c r="G11" s="28" t="n">
        <x:v>30</x:v>
      </x:c>
      <x:c r="H11" s="27" t="str">
        <x:v>Completed legacy run</x:v>
      </x:c>
      <x:c r="I11" s="27" t="str">
        <x:v>Legacy accepted; migration repairs required</x:v>
      </x:c>
      <x:c r="J11" s="28" t="n">
        <x:v>273</x:v>
      </x:c>
      <x:c r="K11" s="27" t="str">
        <x:v>Migrate evidence, then construct controlled vocabulary in Stage 4</x:v>
      </x:c>
      <x:c r="L11" s="27" t="str">
        <x:v>m050/docs/v0.5/governance/M050_MSID_Grammar_v0_5_MEDIANv0_5_0.md</x:v>
      </x:c>
      <x:c r="M11" s="27" t="str">
        <x:v>Do not treat legacy MSID mappings as accepted decisions.</x:v>
      </x:c>
    </x:row>
    <x:row r="12" ht="26.399999618530273" hidden="0" customHeight="1">
      <x:c r="A12" s="28" t="n">
        <x:v>5</x:v>
      </x:c>
      <x:c r="B12" s="27" t="str">
        <x:v>Stage 2 — core game evidence</x:v>
      </x:c>
      <x:c r="C12" s="27" t="str">
        <x:v>M050-SRC-HOME-001</x:v>
      </x:c>
      <x:c r="D12" s="27" t="str">
        <x:v>M050_Home_Mode_Colony_and_DWELL_Specification_v1_0_MEDIANv0_5_0.md</x:v>
      </x:c>
      <x:c r="E12" s="27" t="str">
        <x:v>Home Mode, Colony, and DWELL specification</x:v>
      </x:c>
      <x:c r="F12" s="27" t="str">
        <x:v>Source-bounded atomic extraction</x:v>
      </x:c>
      <x:c r="G12" s="28" t="n">
        <x:v>58</x:v>
      </x:c>
      <x:c r="H12" s="27" t="str">
        <x:v>Legacy dry run only; recalculate under Gate 5</x:v>
      </x:c>
      <x:c r="I12" s="27" t="str">
        <x:v>Dry run only; not extracted</x:v>
      </x:c>
      <x:c r="J12" s="28" t="n">
        <x:v>0</x:v>
      </x:c>
      <x:c r="K12" s="27" t="str">
        <x:v>Re-profile and calibrate after Gate 5 passes</x:v>
      </x:c>
      <x:c r="L12" s="27" t="str">
        <x:v>m050/docs/v0.5/specifications/M050_Home_Mode_Colony_and_DWELL_Specification_v1_0_MEDIANv0_5_0.md</x:v>
      </x:c>
      <x:c r="M12" s="27" t="str">
        <x:v>The 58-chunk plan belongs to the retired runner and is planning evidence only.</x:v>
      </x:c>
    </x:row>
    <x:row r="13" ht="26.399999618530273" hidden="0" customHeight="1">
      <x:c r="A13" s="28" t="n">
        <x:v>6</x:v>
      </x:c>
      <x:c r="B13" s="27" t="str">
        <x:v>Stage 2 — core game evidence</x:v>
      </x:c>
      <x:c r="C13" s="27" t="str">
        <x:v>M050-SRC-EMBODIMENT-001</x:v>
      </x:c>
      <x:c r="D13" s="27" t="str">
        <x:v>M050_Embodiment_Register_and_EMBODY_Specification_v2_0_MEDIANv0_5_0.md</x:v>
      </x:c>
      <x:c r="E13" s="27" t="str">
        <x:v>Embodiment and EMBODY specification</x:v>
      </x:c>
      <x:c r="F13" s="27" t="str">
        <x:v>Source-bounded atomic extraction</x:v>
      </x:c>
      <x:c r="G13" s="28"/>
      <x:c r="H13" s="27" t="str">
        <x:v>Not planned under Gate 5</x:v>
      </x:c>
      <x:c r="I13" s="27" t="str">
        <x:v>Not started</x:v>
      </x:c>
      <x:c r="J13" s="28" t="n">
        <x:v>0</x:v>
      </x:c>
      <x:c r="K13" s="27" t="str">
        <x:v>Create identity card and dry-run chunk plan</x:v>
      </x:c>
      <x:c r="L13" s="27" t="str">
        <x:v>m050/docs/v0.5/specifications/M050_Embodiment_Register_and_EMBODY_Specification_v2_0_MEDIANv0_5_0.md</x:v>
      </x:c>
      <x:c r="M13" s="27" t="str"/>
    </x:row>
    <x:row r="14" ht="26.399999618530273" hidden="0" customHeight="1">
      <x:c r="A14" s="28" t="n">
        <x:v>7</x:v>
      </x:c>
      <x:c r="B14" s="27" t="str">
        <x:v>Stage 2 — core game evidence</x:v>
      </x:c>
      <x:c r="C14" s="27" t="str">
        <x:v>M050-SRC-AWAY-001</x:v>
      </x:c>
      <x:c r="D14" s="27" t="str">
        <x:v>M050_Away_Mode_Field_Crossing_Encounter_and_Return_Specification_v1_0_MEDIANv0_5_0.md</x:v>
      </x:c>
      <x:c r="E14" s="27" t="str">
        <x:v>Away Mode, Field, Crossing, Encounter, and Return</x:v>
      </x:c>
      <x:c r="F14" s="27" t="str">
        <x:v>Source-bounded atomic extraction</x:v>
      </x:c>
      <x:c r="G14" s="28"/>
      <x:c r="H14" s="27" t="str">
        <x:v>Not planned under Gate 5</x:v>
      </x:c>
      <x:c r="I14" s="27" t="str">
        <x:v>Not started</x:v>
      </x:c>
      <x:c r="J14" s="28" t="n">
        <x:v>0</x:v>
      </x:c>
      <x:c r="K14" s="27" t="str">
        <x:v>Create identity card and dry-run chunk plan</x:v>
      </x:c>
      <x:c r="L14" s="27" t="str">
        <x:v>m050/docs/v0.5/specifications/M050_Away_Mode_Field_Crossing_Encounter_and_Return_Specification_v1_0_MEDIANv0_5_0.md</x:v>
      </x:c>
      <x:c r="M14" s="27" t="str"/>
    </x:row>
    <x:row r="15" ht="26.399999618530273" hidden="0" customHeight="1">
      <x:c r="A15" s="28" t="n">
        <x:v>8</x:v>
      </x:c>
      <x:c r="B15" s="27" t="str">
        <x:v>Stage 2 — core game evidence</x:v>
      </x:c>
      <x:c r="C15" s="27" t="str">
        <x:v>M050-SRC-CROSSING-001</x:v>
      </x:c>
      <x:c r="D15" s="27" t="str">
        <x:v>M050_Crossing_Register_and_RISK_Specification_v0_1_MEDIANv0_5_0.md</x:v>
      </x:c>
      <x:c r="E15" s="27" t="str">
        <x:v>Working Crossing and RISK specification</x:v>
      </x:c>
      <x:c r="F15" s="27" t="str">
        <x:v>Migrate grounded evidence into Layer E</x:v>
      </x:c>
      <x:c r="G15" s="28" t="n">
        <x:v>11</x:v>
      </x:c>
      <x:c r="H15" s="27" t="str">
        <x:v>Completed legacy run</x:v>
      </x:c>
      <x:c r="I15" s="27" t="str">
        <x:v>Legacy accepted; migration repairs required</x:v>
      </x:c>
      <x:c r="J15" s="28" t="n">
        <x:v>121</x:v>
      </x:c>
      <x:c r="K15" s="27" t="str">
        <x:v>Re-derive source status and review compound/table records</x:v>
      </x:c>
      <x:c r="L15" s="27" t="str">
        <x:v>m050/docs/v0.5/specifications/M050_Crossing_Register_and_RISK_Specification_v0_1_MEDIANv0_5_0.md</x:v>
      </x:c>
      <x:c r="M15" s="27" t="str">
        <x:v>No paid re-extraction required.</x:v>
      </x:c>
    </x:row>
    <x:row r="16" ht="26.399999618530273" hidden="0" customHeight="1">
      <x:c r="A16" s="28" t="n">
        <x:v>9</x:v>
      </x:c>
      <x:c r="B16" s="27" t="str">
        <x:v>Stage 2 — core game evidence</x:v>
      </x:c>
      <x:c r="C16" s="27" t="str">
        <x:v>M050-SRC-POPULATION-001</x:v>
      </x:c>
      <x:c r="D16" s="27" t="str">
        <x:v>M050_Population_Growth_and_Colony_Tiers_Specification_v1_0_MEDIANv0_5_0.md</x:v>
      </x:c>
      <x:c r="E16" s="27" t="str">
        <x:v>Population growth and colony tiers</x:v>
      </x:c>
      <x:c r="F16" s="27" t="str">
        <x:v>Source-bounded atomic extraction</x:v>
      </x:c>
      <x:c r="G16" s="28"/>
      <x:c r="H16" s="27" t="str">
        <x:v>Not planned under Gate 5</x:v>
      </x:c>
      <x:c r="I16" s="27" t="str">
        <x:v>Not started</x:v>
      </x:c>
      <x:c r="J16" s="28" t="n">
        <x:v>0</x:v>
      </x:c>
      <x:c r="K16" s="27" t="str">
        <x:v>Create identity card and dry-run chunk plan</x:v>
      </x:c>
      <x:c r="L16" s="27" t="str">
        <x:v>m050/docs/v0.5/specifications/M050_Population_Growth_and_Colony_Tiers_Specification_v1_0_MEDIANv0_5_0.md</x:v>
      </x:c>
      <x:c r="M16" s="27" t="str"/>
    </x:row>
    <x:row r="17" ht="26.399999618530273" hidden="0" customHeight="1">
      <x:c r="A17" s="28" t="n">
        <x:v>10</x:v>
      </x:c>
      <x:c r="B17" s="27" t="str">
        <x:v>Stage 2 — core game evidence</x:v>
      </x:c>
      <x:c r="C17" s="27" t="str">
        <x:v>M050-SRC-GUEST-001</x:v>
      </x:c>
      <x:c r="D17" s="27" t="str">
        <x:v>M050_Guest_Citizen_Specification_v2_0_MEDIANv0_5_0.md</x:v>
      </x:c>
      <x:c r="E17" s="27" t="str">
        <x:v>Guest Citizen specification</x:v>
      </x:c>
      <x:c r="F17" s="27" t="str">
        <x:v>Source-bounded atomic extraction</x:v>
      </x:c>
      <x:c r="G17" s="28"/>
      <x:c r="H17" s="27" t="str">
        <x:v>Not planned under Gate 5</x:v>
      </x:c>
      <x:c r="I17" s="27" t="str">
        <x:v>Not started</x:v>
      </x:c>
      <x:c r="J17" s="28" t="n">
        <x:v>0</x:v>
      </x:c>
      <x:c r="K17" s="27" t="str">
        <x:v>Create identity card and dry-run chunk plan</x:v>
      </x:c>
      <x:c r="L17" s="27" t="str">
        <x:v>m050/docs/v0.5/specifications/M050_Guest_Citizen_Specification_v2_0_MEDIANv0_5_0.md</x:v>
      </x:c>
      <x:c r="M17" s="27" t="str"/>
    </x:row>
    <x:row r="18" ht="26.399999618530273" hidden="0" customHeight="1">
      <x:c r="A18" s="28" t="n">
        <x:v>11</x:v>
      </x:c>
      <x:c r="B18" s="27" t="str">
        <x:v>Stage 2 — core game evidence</x:v>
      </x:c>
      <x:c r="C18" s="27" t="str">
        <x:v>M050-SRC-PERSONAL-ITEMS-001</x:v>
      </x:c>
      <x:c r="D18" s="27" t="str">
        <x:v>M050_Personal_Items_Focus_and_Expedition_Equipment_Specification_v1_0_MEDIANv0_5_0.md</x:v>
      </x:c>
      <x:c r="E18" s="27" t="str">
        <x:v>Personal items, Focus, and expedition equipment</x:v>
      </x:c>
      <x:c r="F18" s="27" t="str">
        <x:v>Source-bounded atomic extraction</x:v>
      </x:c>
      <x:c r="G18" s="28"/>
      <x:c r="H18" s="27" t="str">
        <x:v>Not planned under Gate 5</x:v>
      </x:c>
      <x:c r="I18" s="27" t="str">
        <x:v>Not started</x:v>
      </x:c>
      <x:c r="J18" s="28" t="n">
        <x:v>0</x:v>
      </x:c>
      <x:c r="K18" s="27" t="str">
        <x:v>Create identity card and dry-run chunk plan</x:v>
      </x:c>
      <x:c r="L18" s="27" t="str">
        <x:v>m050/docs/v0.5/specifications/M050_Personal_Items_Focus_and_Expedition_Equipment_Specification_v1_0_MEDIANv0_5_0.md</x:v>
      </x:c>
      <x:c r="M18" s="27" t="str"/>
    </x:row>
    <x:row r="19" ht="26.399999618530273" hidden="0" customHeight="1">
      <x:c r="A19" s="28" t="n">
        <x:v>12</x:v>
      </x:c>
      <x:c r="B19" s="27" t="str">
        <x:v>Stage 2 — core game evidence</x:v>
      </x:c>
      <x:c r="C19" s="27" t="str">
        <x:v>M050-SRC-DISCOVERY-TIME-PROGRESSION-001</x:v>
      </x:c>
      <x:c r="D19" s="27" t="str">
        <x:v>M050_Discovery_Time_Movement_and_Civic_Progression_Specification_v1_0_MEDIANv0_5_0.md</x:v>
      </x:c>
      <x:c r="E19" s="27" t="str">
        <x:v>Discovery, time, movement, and civic progression</x:v>
      </x:c>
      <x:c r="F19" s="27" t="str">
        <x:v>Source-bounded atomic extraction</x:v>
      </x:c>
      <x:c r="G19" s="28"/>
      <x:c r="H19" s="27" t="str">
        <x:v>Not planned under Gate 5</x:v>
      </x:c>
      <x:c r="I19" s="27" t="str">
        <x:v>Not started</x:v>
      </x:c>
      <x:c r="J19" s="28" t="n">
        <x:v>0</x:v>
      </x:c>
      <x:c r="K19" s="27" t="str">
        <x:v>Create identity card and dry-run chunk plan</x:v>
      </x:c>
      <x:c r="L19" s="27" t="str">
        <x:v>m050/docs/v0.5/specifications/M050_Discovery_Time_Movement_and_Civic_Progression_Specification_v1_0_MEDIANv0_5_0.md</x:v>
      </x:c>
      <x:c r="M19" s="27" t="str"/>
    </x:row>
    <x:row r="20" ht="26.399999618530273" hidden="0" customHeight="1">
      <x:c r="A20" s="28" t="n">
        <x:v>13</x:v>
      </x:c>
      <x:c r="B20" s="27" t="str">
        <x:v>Stage 2 — core game evidence</x:v>
      </x:c>
      <x:c r="C20" s="27" t="str">
        <x:v>M050-SRC-CORE-TRAITS-001</x:v>
      </x:c>
      <x:c r="D20" s="27" t="str">
        <x:v>M050_Core_Species_Traits_Specification_v0_1_MEDIANv0_5_0.md</x:v>
      </x:c>
      <x:c r="E20" s="27" t="str">
        <x:v>Working core species physical traits</x:v>
      </x:c>
      <x:c r="F20" s="27" t="str">
        <x:v>Source-bounded atomic extraction</x:v>
      </x:c>
      <x:c r="G20" s="28"/>
      <x:c r="H20" s="27" t="str">
        <x:v>Not planned under Gate 5</x:v>
      </x:c>
      <x:c r="I20" s="27" t="str">
        <x:v>Not started</x:v>
      </x:c>
      <x:c r="J20" s="28" t="n">
        <x:v>0</x:v>
      </x:c>
      <x:c r="K20" s="27" t="str">
        <x:v>Create identity card and dry-run chunk plan</x:v>
      </x:c>
      <x:c r="L20" s="27" t="str">
        <x:v>m050/docs/v0.5/specifications/M050_Core_Species_Traits_Specification_v0_1_MEDIANv0_5_0.md</x:v>
      </x:c>
      <x:c r="M20" s="27" t="str"/>
    </x:row>
    <x:row r="21" ht="26.399999618530273" hidden="0" customHeight="1">
      <x:c r="A21" s="28" t="n">
        <x:v>14</x:v>
      </x:c>
      <x:c r="B21" s="27" t="str">
        <x:v>Stage 2 — bridge evidence</x:v>
      </x:c>
      <x:c r="C21" s="27" t="str">
        <x:v>M050-SRC-047-CROSS-SYSTEM-CARRYFORWARD-001</x:v>
      </x:c>
      <x:c r="D21" s="27" t="str">
        <x:v>M050_v0_4_7_Cross_System_Attention_Persistence_and_World_State_Carryforward_v1_0_MEDIANv0_5_0.md</x:v>
      </x:c>
      <x:c r="E21" s="27" t="str">
        <x:v>v0.4.7-to-v0.5 cross-system carryforward</x:v>
      </x:c>
      <x:c r="F21" s="27" t="str">
        <x:v>Extract before grand reconciliation</x:v>
      </x:c>
      <x:c r="G21" s="28"/>
      <x:c r="H21" s="27" t="str">
        <x:v>Not planned under Gate 5</x:v>
      </x:c>
      <x:c r="I21" s="27" t="str">
        <x:v>Not started</x:v>
      </x:c>
      <x:c r="J21" s="28" t="n">
        <x:v>0</x:v>
      </x:c>
      <x:c r="K21" s="27" t="str">
        <x:v>Extract every substantive claim; retain status for reconciliation</x:v>
      </x:c>
      <x:c r="L21" s="27" t="str">
        <x:v>m050/docs/v0.5/specifications/M050_v0_4_7_Cross_System_Attention_Persistence_and_World_State_Carryforward_v1_0_MEDIANv0_5_0.md</x:v>
      </x:c>
      <x:c r="M21" s="27" t="str">
        <x:v>Dedicated descendants do not erase unique rules by silence.</x:v>
      </x:c>
    </x:row>
    <x:row r="22" ht="26.399999618530273" hidden="0" customHeight="1">
      <x:c r="A22" s="28" t="n">
        <x:v>15</x:v>
      </x:c>
      <x:c r="B22" s="27" t="str">
        <x:v>Stage 2 — subsidiary evidence</x:v>
      </x:c>
      <x:c r="C22" s="27" t="str">
        <x:v>M050-SRC-ECOLOGY-001</x:v>
      </x:c>
      <x:c r="D22" s="27" t="str">
        <x:v>M050_Ecological_Influences_Specification_v1_0_MEDIANv0_5_0.md</x:v>
      </x:c>
      <x:c r="E22" s="27" t="str">
        <x:v>Subsidiary ecological translation</x:v>
      </x:c>
      <x:c r="F22" s="27" t="str">
        <x:v>Source-bounded atomic extraction</x:v>
      </x:c>
      <x:c r="G22" s="28"/>
      <x:c r="H22" s="27" t="str">
        <x:v>Not planned under Gate 5</x:v>
      </x:c>
      <x:c r="I22" s="27" t="str">
        <x:v>Not started</x:v>
      </x:c>
      <x:c r="J22" s="28" t="n">
        <x:v>0</x:v>
      </x:c>
      <x:c r="K22" s="27" t="str">
        <x:v>Extract, preserving subsidiary status for reconciliation</x:v>
      </x:c>
      <x:c r="L22" s="27" t="str">
        <x:v>m050/docs/v0.5/specifications/M050_Ecological_Influences_Specification_v1_0_MEDIANv0_5_0.md</x:v>
      </x:c>
      <x:c r="M22" s="27" t="str"/>
    </x:row>
    <x:row r="23" ht="26.399999618530273" hidden="0" customHeight="1">
      <x:c r="A23" s="28" t="n">
        <x:v>16</x:v>
      </x:c>
      <x:c r="B23" s="27" t="str">
        <x:v>Stage 2 — coverage-gap evidence</x:v>
      </x:c>
      <x:c r="C23" s="27" t="str">
        <x:v>M050-SRC-GDD-COVERAGE-GAP-001</x:v>
      </x:c>
      <x:c r="D23" s="27" t="str">
        <x:v>M050_v0_4_6_GDD_Coverage_Gap_Development_v1_0_MEDIANv0_5_0.md</x:v>
      </x:c>
      <x:c r="E23" s="27" t="str">
        <x:v>Late v0.4.6 GDD coverage-gap development</x:v>
      </x:c>
      <x:c r="F23" s="27" t="str">
        <x:v>Extract before grand reconciliation</x:v>
      </x:c>
      <x:c r="G23" s="28"/>
      <x:c r="H23" s="27" t="str">
        <x:v>Not planned under Gate 5</x:v>
      </x:c>
      <x:c r="I23" s="27" t="str">
        <x:v>Not started</x:v>
      </x:c>
      <x:c r="J23" s="28" t="n">
        <x:v>0</x:v>
      </x:c>
      <x:c r="K23" s="27" t="str">
        <x:v>Map claims by actual subject; do not infer global ownership</x:v>
      </x:c>
      <x:c r="L23" s="27" t="str">
        <x:v>m050/docs/v0.5/specifications/M050_v0_4_6_GDD_Coverage_Gap_Development_v1_0_MEDIANv0_5_0.md</x:v>
      </x:c>
      <x:c r="M23" s="27" t="str">
        <x:v>Title and internal rhetoric confer no authority.</x:v>
      </x:c>
    </x:row>
    <x:row r="24" ht="26.399999618530273" hidden="0" customHeight="1">
      <x:c r="A24" s="28" t="n">
        <x:v>17</x:v>
      </x:c>
      <x:c r="B24" s="27" t="str">
        <x:v>Stage 2 — bridge/provenance evidence</x:v>
      </x:c>
      <x:c r="C24" s="27" t="str">
        <x:v>M050-SRC-047-DEVELOPMENT-RULINGS-001</x:v>
      </x:c>
      <x:c r="D24" s="27" t="str">
        <x:v>M050_v0_4_7_Development_Rulings_Ledger_BSA_01_to_11A_Checkpoint_2026_07_30_MEDIANv0_5_0.md</x:v>
      </x:c>
      <x:c r="E24" s="27" t="str">
        <x:v>v0.4.7-to-v0.5 adaptation and disposition ledger</x:v>
      </x:c>
      <x:c r="F24" s="27" t="str">
        <x:v>Extract and partition before reconciliation</x:v>
      </x:c>
      <x:c r="G24" s="28"/>
      <x:c r="H24" s="27" t="str">
        <x:v>Not planned under Gate 5</x:v>
      </x:c>
      <x:c r="I24" s="27" t="str">
        <x:v>Not started</x:v>
      </x:c>
      <x:c r="J24" s="28" t="n">
        <x:v>0</x:v>
      </x:c>
      <x:c r="K24" s="27" t="str">
        <x:v>Separate substantive rules from lineage and process commentary</x:v>
      </x:c>
      <x:c r="L24" s="27" t="str">
        <x:v>m050/docs/v0.5/provenance/M050_v0_4_7_Development_Rulings_Ledger_BSA_01_to_11A_Checkpoint_2026_07_30_MEDIANv0_5_0.md</x:v>
      </x:c>
      <x:c r="M24" s="27" t="str">
        <x:v>Not a v0.4.6 baseline audit.</x:v>
      </x:c>
    </x:row>
    <x:row r="25" ht="26.399999618530273" hidden="0" customHeight="1">
      <x:c r="A25" s="28" t="n">
        <x:v>18</x:v>
      </x:c>
      <x:c r="B25" s="27" t="str">
        <x:v>Stage 2 — bridge/provenance evidence</x:v>
      </x:c>
      <x:c r="C25" s="27" t="str">
        <x:v>M050-SRC-047-SURVIVORSHIP-REVIEW-001</x:v>
      </x:c>
      <x:c r="D25" s="27" t="str">
        <x:v>M050_v0_4_7_Development_Survivorship_Review_v0_1_MEDIANv0_5_0.md</x:v>
      </x:c>
      <x:c r="E25" s="27" t="str">
        <x:v>v0.4.7 decision-development survivorship review</x:v>
      </x:c>
      <x:c r="F25" s="27" t="str">
        <x:v>Extract and partition before reconciliation</x:v>
      </x:c>
      <x:c r="G25" s="28"/>
      <x:c r="H25" s="27" t="str">
        <x:v>Not planned under Gate 5</x:v>
      </x:c>
      <x:c r="I25" s="27" t="str">
        <x:v>Not started</x:v>
      </x:c>
      <x:c r="J25" s="28" t="n">
        <x:v>0</x:v>
      </x:c>
      <x:c r="K25" s="27" t="str">
        <x:v>Preserve findings and statuses; partition diagnostic prose</x:v>
      </x:c>
      <x:c r="L25" s="27" t="str">
        <x:v>m050/docs/v0.5/provenance/M050_v0_4_7_Development_Survivorship_Review_v0_1_MEDIANv0_5_0.md</x:v>
      </x:c>
      <x:c r="M25" s="27" t="str">
        <x:v>Not a v0.4.6 baseline audit.</x:v>
      </x:c>
    </x:row>
    <x:row r="26" ht="26.399999618530273" hidden="0" customHeight="1">
      <x:c r="A26" s="28" t="n">
        <x:v>19</x:v>
      </x:c>
      <x:c r="B26" s="27" t="str">
        <x:v>Stage 6 — baseline audit</x:v>
      </x:c>
      <x:c r="C26" s="27" t="str">
        <x:v>M050-SRC-GDD-046-001</x:v>
      </x:c>
      <x:c r="D26" s="27" t="str">
        <x:v>M046_MEDIAN_Game_Design_Document_v0_4_6.md</x:v>
      </x:c>
      <x:c r="E26" s="27" t="str">
        <x:v>Actual v0.4.6 revision baseline</x:v>
      </x:c>
      <x:c r="F26" s="27" t="str">
        <x:v>Post-reconciliation grounded coverage audit</x:v>
      </x:c>
      <x:c r="G26" s="28"/>
      <x:c r="H26" s="27" t="str">
        <x:v>Planned only after Stage 5</x:v>
      </x:c>
      <x:c r="I26" s="27" t="str">
        <x:v>Deferred to Stage 6</x:v>
      </x:c>
      <x:c r="J26" s="28" t="n">
        <x:v>0</x:v>
      </x:c>
      <x:c r="K26" s="27" t="str">
        <x:v>Process only after the reconciled v0.5 target exists</x:v>
      </x:c>
      <x:c r="L26" s="27" t="str">
        <x:v>m050/docs/baseline/M046_MEDIAN_Game_Design_Document_v0_4_6.md</x:v>
      </x:c>
      <x:c r="M26" s="27" t="str">
        <x:v>Historical baseline; not a current-source owner.</x:v>
      </x:c>
    </x:row>
    <x:row r="27" ht="26.399999618530273" hidden="0" customHeight="1">
      <x:c r="A27" s="28" t="n">
        <x:v>20</x:v>
      </x:c>
      <x:c r="B27" s="27" t="str">
        <x:v>Stage 7 — manifestation stream</x:v>
      </x:c>
      <x:c r="C27" s="27" t="str">
        <x:v>M050-SRC-FOUR-MANIFESTATION-FRAMEWORK-001</x:v>
      </x:c>
      <x:c r="D27" s="27" t="str">
        <x:v>M050_Computer_TTRPG_Card_and_Mobile_Manifestation_Framework_v1_0_MEDIANv0_5_0.md</x:v>
      </x:c>
      <x:c r="E27" s="27" t="str">
        <x:v>Cross-medium invariants and medium-specific rules</x:v>
      </x:c>
      <x:c r="F27" s="27" t="str">
        <x:v>Deferred source-bounded extraction</x:v>
      </x:c>
      <x:c r="G27" s="28"/>
      <x:c r="H27" s="27" t="str">
        <x:v>Planned after core reconciliation</x:v>
      </x:c>
      <x:c r="I27" s="27" t="str">
        <x:v>Deferred to Stage 7</x:v>
      </x:c>
      <x:c r="J27" s="28" t="n">
        <x:v>0</x:v>
      </x:c>
      <x:c r="K27" s="27" t="str">
        <x:v>Extract into manifestation stream after core reconciliation</x:v>
      </x:c>
      <x:c r="L27" s="27" t="str">
        <x:v>m050/docs/v0.5/specifications/M050_Computer_TTRPG_Card_and_Mobile_Manifestation_Framework_v1_0_MEDIANv0_5_0.md</x:v>
      </x:c>
      <x:c r="M27" s="27" t="str">
        <x:v>Must not be flattened into core game semantics.</x:v>
      </x:c>
    </x:row>
    <x:row r="28" ht="26.399999618530273" hidden="0" customHeight="1">
      <x:c r="A28" s="28" t="n">
        <x:v>21</x:v>
      </x:c>
      <x:c r="B28" s="27" t="str">
        <x:v>Stage 7 — publication stream</x:v>
      </x:c>
      <x:c r="C28" s="27" t="str">
        <x:v>M050-SRC-APPENDIX-001</x:v>
      </x:c>
      <x:c r="D28" s="27" t="str">
        <x:v>M050_Appendix_Architecture_and_Content_Plan_v1_0_MEDIANv0_5_0.md</x:v>
      </x:c>
      <x:c r="E28" s="27" t="str">
        <x:v>Sourcebook and appendix publication architecture</x:v>
      </x:c>
      <x:c r="F28" s="27" t="str">
        <x:v>Deterministic publication-control parse</x:v>
      </x:c>
      <x:c r="G28" s="28"/>
      <x:c r="H28" s="27" t="str">
        <x:v>Not applicable</x:v>
      </x:c>
      <x:c r="I28" s="27" t="str">
        <x:v>Deterministic parse pending</x:v>
      </x:c>
      <x:c r="J28" s="28" t="n">
        <x:v>0</x:v>
      </x:c>
      <x:c r="K28" s="27" t="str">
        <x:v>Parse without model extraction during Stage 7</x:v>
      </x:c>
      <x:c r="L28" s="27" t="str">
        <x:v>m050/docs/v0.5/specifications/M050_Appendix_Architecture_and_Content_Plan_v1_0_MEDIANv0_5_0.md</x:v>
      </x:c>
      <x:c r="M28" s="27" t="str">
        <x:v>Model extraction is prohibited.</x:v>
      </x:c>
    </x:row>
    <x:row r="29" ht="26.399999618530273" hidden="0" customHeight="1">
      <x:c r="A29" s="28" t="n">
        <x:v>22</x:v>
      </x:c>
      <x:c r="B29" s="27" t="str">
        <x:v>Stage 7 — optional manifestation</x:v>
      </x:c>
      <x:c r="C29" s="27" t="str">
        <x:v>M050-SRC-BOARD-GAME-DRAFT-001</x:v>
      </x:c>
      <x:c r="D29" s="27" t="str">
        <x:v>M050_Board_Game_Manifestation_Initial_Draft_v0_1_MEDIANv0_5_0.md</x:v>
      </x:c>
      <x:c r="E29" s="27" t="str">
        <x:v>Exploratory board-game manifestation</x:v>
      </x:c>
      <x:c r="F29" s="27" t="str">
        <x:v>Deferred optional extraction</x:v>
      </x:c>
      <x:c r="G29" s="28"/>
      <x:c r="H29" s="27" t="str">
        <x:v>Only if selected for v0.5.0</x:v>
      </x:c>
      <x:c r="I29" s="27" t="str">
        <x:v>Deferred; selection unresolved</x:v>
      </x:c>
      <x:c r="J29" s="28" t="n">
        <x:v>0</x:v>
      </x:c>
      <x:c r="K29" s="27" t="str">
        <x:v>Human decision whether it belongs in v0.5.0 Sourcebook</x:v>
      </x:c>
      <x:c r="L29" s="27" t="str">
        <x:v>m050/docs/v0.5/companions/M050_Board_Game_Manifestation_Initial_Draft_v0_1_MEDIANv0_5_0.md</x:v>
      </x:c>
      <x:c r="M29" s="27" t="str">
        <x:v>Does not block core extraction or reconciliation.</x:v>
      </x:c>
    </x:row>
    <x:row r="30" ht="26.399999618530273" hidden="0" customHeight="1">
      <x:c r="A30" s="28" t="n">
        <x:v>23</x:v>
      </x:c>
      <x:c r="B30" s="27" t="str">
        <x:v>Reference only</x:v>
      </x:c>
      <x:c r="C30" s="27" t="str">
        <x:v>M050-SRC-MARKET-001</x:v>
      </x:c>
      <x:c r="D30" s="27" t="str">
        <x:v>M050_Market_Position_Comparative_Landscape_and_Resemblance_Risk_Research_v1_1_MEDIANv0_5_0.md</x:v>
      </x:c>
      <x:c r="E30" s="27" t="str">
        <x:v>Positioning and comparative analysis</x:v>
      </x:c>
      <x:c r="F30" s="27" t="str">
        <x:v>Retain companion; no compile extraction</x:v>
      </x:c>
      <x:c r="G30" s="28"/>
      <x:c r="H30" s="27" t="str">
        <x:v>Not applicable</x:v>
      </x:c>
      <x:c r="I30" s="27" t="str">
        <x:v>No extraction — reference only</x:v>
      </x:c>
      <x:c r="J30" s="28" t="n">
        <x:v>0</x:v>
      </x:c>
      <x:c r="K30" s="27" t="str">
        <x:v>Retain outside the atomic compile</x:v>
      </x:c>
      <x:c r="L30" s="27" t="str">
        <x:v>m050/docs/v0.5/companions/M050_Market_Position_Comparative_Landscape_and_Resemblance_Risk_Research_v1_1_MEDIANv0_5_0.md</x:v>
      </x:c>
      <x:c r="M30" s="27" t="str"/>
    </x:row>
    <x:row r="31" ht="26.399999618530273" hidden="0" customHeight="1">
      <x:c r="A31" s="28" t="n">
        <x:v>24</x:v>
      </x:c>
      <x:c r="B31" s="27" t="str">
        <x:v>Reference only</x:v>
      </x:c>
      <x:c r="C31" s="27" t="str">
        <x:v>M050-SRC-SOURCEBOOK-AUGMENTS-001</x:v>
      </x:c>
      <x:c r="D31" s="27" t="str">
        <x:v>M050_Sourcebook_Visual_Narrative_and_Infographic_Augments_Plan_v0_1_MEDIANv0_5_0.md</x:v>
      </x:c>
      <x:c r="E31" s="27" t="str">
        <x:v>Production and illustration plan</x:v>
      </x:c>
      <x:c r="F31" s="27" t="str">
        <x:v>Retain companion; no compile extraction</x:v>
      </x:c>
      <x:c r="G31" s="28"/>
      <x:c r="H31" s="27" t="str">
        <x:v>Not applicable</x:v>
      </x:c>
      <x:c r="I31" s="27" t="str">
        <x:v>No extraction — reference only</x:v>
      </x:c>
      <x:c r="J31" s="28" t="n">
        <x:v>0</x:v>
      </x:c>
      <x:c r="K31" s="27" t="str">
        <x:v>Retain outside the atomic compile</x:v>
      </x:c>
      <x:c r="L31" s="27" t="str">
        <x:v>m050/docs/v0.5/companions/M050_Sourcebook_Visual_Narrative_and_Infographic_Augments_Plan_v0_1_MEDIANv0_5_0.md</x:v>
      </x:c>
      <x:c r="M31" s="27" t="str"/>
    </x:row>
  </x:sheetData>
  <x:mergeCells>
    <x:mergeCell ref="A1:M1"/>
    <x:mergeCell ref="A2:M2"/>
  </x:mergeCells>
  <x:conditionalFormatting sqref="I8:I31">
    <x:cfRule type="containsText" dxfId="0" priority="1" operator="containsText" text="Complete"/>
    <x:cfRule type="containsText" dxfId="1" priority="2" operator="containsText" text="Passed"/>
    <x:cfRule type="containsText" dxfId="2" priority="3" operator="containsText" text="accepted"/>
    <x:cfRule type="containsText" dxfId="3" priority="4" operator="containsText" text="In progress"/>
    <x:cfRule type="containsText" dxfId="4" priority="5" operator="containsText" text="required"/>
    <x:cfRule type="containsText" dxfId="5" priority="6" operator="containsText" text="pending"/>
    <x:cfRule type="containsText" dxfId="6" priority="7" operator="containsText" text="Not started"/>
    <x:cfRule type="containsText" dxfId="7" priority="8" operator="containsText" text="Deferred"/>
    <x:cfRule type="containsText" dxfId="8" priority="9" operator="containsText" text="No extraction"/>
    <x:cfRule type="containsText" dxfId="9" priority="10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d9c10e50f49e4312"/>
  </x:tableParts>
</x:worksheet>
</file>